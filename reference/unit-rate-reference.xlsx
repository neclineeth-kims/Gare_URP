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_Guide" sheetId="1" state="visible" r:id="rId3"/>
    <sheet name="Input_BoQ" sheetId="2" state="visible" r:id="rId4"/>
    <sheet name="Resource_Summary" sheetId="3" state="visible" r:id="rId5"/>
    <sheet name="Detailed_Calcul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<sst xmlns="http://schemas.openxmlformats.org/spreadsheetml/2006/main" count="260" uniqueCount="147">
  <si>
    <t xml:space="preserve">RESOURCE EXPLOSION ANALYSIS - USER GUIDE</t>
  </si>
  <si>
    <t xml:space="preserve">HOW THE SYSTEM WORKS:</t>
  </si>
  <si>
    <t xml:space="preserve">This workbook performs RESOURCE EXPLOSION - breaking down Bill of Quantities items through multiple levels to show exact resource consumption.</t>
  </si>
  <si>
    <t xml:space="preserve">EXPLOSION HIERARCHY:</t>
  </si>
  <si>
    <t xml:space="preserve">1. BoQ Item (e.g., 9001 Excavation in Bulk - 1,000,000 m³)</t>
  </si>
  <si>
    <t xml:space="preserve">   ↓ Uses multiple Analysis items with coefficients</t>
  </si>
  <si>
    <t xml:space="preserve">2. Analysis Items (e.g., 7001 Excavation, 7002 Soft Excavation)</t>
  </si>
  <si>
    <t xml:space="preserve">   ↓ Each analysis uses Labor, Material, and Equipment</t>
  </si>
  <si>
    <t xml:space="preserve">3. Equipment (e.g., 6001 Bulldozer, 6002 Roller)</t>
  </si>
  <si>
    <t xml:space="preserve">   ↓ Each equipment hour requires operator labor and fuel</t>
  </si>
  <si>
    <t xml:space="preserve">4. Final Resources = Direct use + Indirect use through equipment</t>
  </si>
  <si>
    <t xml:space="preserve">EXAMPLE FROM THIS WORKBOOK:</t>
  </si>
  <si>
    <t xml:space="preserve">BoQ 9001 (1M m³) → 50% Analysis 7001 + 50% Analysis 7002</t>
  </si>
  <si>
    <t xml:space="preserve">Analysis 7001 (500,000 m³) needs:</t>
  </si>
  <si>
    <t xml:space="preserve">  • Direct: 1,000 hrs Semi-skilled Labor</t>
  </si>
  <si>
    <t xml:space="preserve">  • Direct: 5,000 hrs Bulldozer</t>
  </si>
  <si>
    <t xml:space="preserve">  • Indirect (from Bulldozer): 5,000 hrs Skilled operator + 200,000 lt Diesel</t>
  </si>
  <si>
    <t xml:space="preserve">Analysis 7002 (500,000 m³) needs:</t>
  </si>
  <si>
    <t xml:space="preserve">  • Direct: 1,000 hrs Skilled Labor</t>
  </si>
  <si>
    <t xml:space="preserve">  • Direct: 10,000 hrs Roller</t>
  </si>
  <si>
    <t xml:space="preserve">  • Direct: 5,000 tons Cement</t>
  </si>
  <si>
    <t xml:space="preserve">  • Indirect (from Roller): 10,000 hrs Skilled operator + 200,000 lt Diesel</t>
  </si>
  <si>
    <t xml:space="preserve">SHEET DESCRIPTIONS:</t>
  </si>
  <si>
    <t xml:space="preserve">• Input_BoQ: Original data with labor, material, equipment, analysis, and BoQ</t>
  </si>
  <si>
    <t xml:space="preserve">• Resource_Summary: FINAL RESULTS - Total labor hours, material quantities, equipment hours, and costs</t>
  </si>
  <si>
    <t xml:space="preserve">• Detailed_Calculation: Step-by-step explosion showing how resources are calculated</t>
  </si>
  <si>
    <t xml:space="preserve">KEY OUTPUTS IN RESOURCE_SUMMARY:</t>
  </si>
  <si>
    <t xml:space="preserve">• Labor: Total hours by type (Unskilled, Semi-skilled, Skilled) with costs</t>
  </si>
  <si>
    <t xml:space="preserve">• Material: Total quantities (Diesel, Cement, etc.) with costs</t>
  </si>
  <si>
    <t xml:space="preserve">• Equipment: Total hours (Bulldozer, Roller) with depreciation and costs</t>
  </si>
  <si>
    <t xml:space="preserve">• Depreciation: Tracked separately from operating costs</t>
  </si>
  <si>
    <t xml:space="preserve">• Grand Total: Complete project cost</t>
  </si>
  <si>
    <t xml:space="preserve">TO ADD MORE BOQ ITEMS:</t>
  </si>
  <si>
    <t xml:space="preserve">1. Add BoQ item in Input_BoQ sheet with its analysis breakdown</t>
  </si>
  <si>
    <t xml:space="preserve">2. Update Detailed_Calculation sheet following the same pattern</t>
  </si>
  <si>
    <t xml:space="preserve">3. Resource_Summary will show updated totals</t>
  </si>
  <si>
    <t xml:space="preserve">Labor </t>
  </si>
  <si>
    <t xml:space="preserve">LCode</t>
  </si>
  <si>
    <t xml:space="preserve">LName</t>
  </si>
  <si>
    <t xml:space="preserve">LUnit</t>
  </si>
  <si>
    <t xml:space="preserve">LCur</t>
  </si>
  <si>
    <t xml:space="preserve">LValue</t>
  </si>
  <si>
    <t xml:space="preserve">Unskilled Laborer</t>
  </si>
  <si>
    <t xml:space="preserve">hr</t>
  </si>
  <si>
    <t xml:space="preserve">Semi-skilled Laborer</t>
  </si>
  <si>
    <t xml:space="preserve">Skilled Laborer</t>
  </si>
  <si>
    <t xml:space="preserve">Material</t>
  </si>
  <si>
    <t xml:space="preserve">MCode</t>
  </si>
  <si>
    <t xml:space="preserve">MName</t>
  </si>
  <si>
    <t xml:space="preserve">MUnit</t>
  </si>
  <si>
    <t xml:space="preserve">MCur</t>
  </si>
  <si>
    <t xml:space="preserve">MValue</t>
  </si>
  <si>
    <t xml:space="preserve">Diesel</t>
  </si>
  <si>
    <t xml:space="preserve">lt</t>
  </si>
  <si>
    <t xml:space="preserve">Benzine</t>
  </si>
  <si>
    <t xml:space="preserve">Cement</t>
  </si>
  <si>
    <t xml:space="preserve">ton</t>
  </si>
  <si>
    <t xml:space="preserve">Equipment</t>
  </si>
  <si>
    <t xml:space="preserve">ECode</t>
  </si>
  <si>
    <t xml:space="preserve">EName</t>
  </si>
  <si>
    <t xml:space="preserve">EUnit</t>
  </si>
  <si>
    <t xml:space="preserve">EDC</t>
  </si>
  <si>
    <t xml:space="preserve">EDP</t>
  </si>
  <si>
    <t xml:space="preserve">ETC</t>
  </si>
  <si>
    <t xml:space="preserve">Equipment-Calculation</t>
  </si>
  <si>
    <t xml:space="preserve">ETVal</t>
  </si>
  <si>
    <t xml:space="preserve">EDeprT</t>
  </si>
  <si>
    <t xml:space="preserve">Bulldozer</t>
  </si>
  <si>
    <t xml:space="preserve">Roller</t>
  </si>
  <si>
    <t xml:space="preserve">Equipment-Calculation-Deep</t>
  </si>
  <si>
    <t xml:space="preserve">LMCode</t>
  </si>
  <si>
    <t xml:space="preserve">LMVal</t>
  </si>
  <si>
    <t xml:space="preserve">Analysis</t>
  </si>
  <si>
    <t xml:space="preserve">ACode</t>
  </si>
  <si>
    <t xml:space="preserve">AName</t>
  </si>
  <si>
    <t xml:space="preserve">AUnit</t>
  </si>
  <si>
    <t xml:space="preserve">ADC</t>
  </si>
  <si>
    <t xml:space="preserve">ADP</t>
  </si>
  <si>
    <t xml:space="preserve">ATC</t>
  </si>
  <si>
    <t xml:space="preserve">Analysis-Calculation</t>
  </si>
  <si>
    <t xml:space="preserve">AVal</t>
  </si>
  <si>
    <t xml:space="preserve">Excavation</t>
  </si>
  <si>
    <t xml:space="preserve">cum</t>
  </si>
  <si>
    <t xml:space="preserve">Soft Excavation</t>
  </si>
  <si>
    <t xml:space="preserve">Analysis-Calculation-Deep-1</t>
  </si>
  <si>
    <t xml:space="preserve">LMECode</t>
  </si>
  <si>
    <t xml:space="preserve">LMEVal</t>
  </si>
  <si>
    <t xml:space="preserve">LMEDVal</t>
  </si>
  <si>
    <t xml:space="preserve">Bill of Quantities</t>
  </si>
  <si>
    <t xml:space="preserve">BCode</t>
  </si>
  <si>
    <t xml:space="preserve">BName</t>
  </si>
  <si>
    <t xml:space="preserve">BUnit</t>
  </si>
  <si>
    <t xml:space="preserve">BVal</t>
  </si>
  <si>
    <t xml:space="preserve">BDC</t>
  </si>
  <si>
    <t xml:space="preserve">BDP</t>
  </si>
  <si>
    <t xml:space="preserve">BTC</t>
  </si>
  <si>
    <t xml:space="preserve">Bill of Quantity-Calculation</t>
  </si>
  <si>
    <t xml:space="preserve">Excavation in Bulk</t>
  </si>
  <si>
    <t xml:space="preserve">RESOURCE CONSUMPTION SUMMARY</t>
  </si>
  <si>
    <t xml:space="preserve">LABOR SUMMARY</t>
  </si>
  <si>
    <t xml:space="preserve">Labor Name</t>
  </si>
  <si>
    <t xml:space="preserve">Total Hours</t>
  </si>
  <si>
    <t xml:space="preserve">Unit</t>
  </si>
  <si>
    <t xml:space="preserve">Unit Rate</t>
  </si>
  <si>
    <t xml:space="preserve">Total Value</t>
  </si>
  <si>
    <t xml:space="preserve">TOTAL LABOR</t>
  </si>
  <si>
    <t xml:space="preserve">MATERIAL SUMMARY</t>
  </si>
  <si>
    <t xml:space="preserve">Material Name</t>
  </si>
  <si>
    <t xml:space="preserve">Total Quantity</t>
  </si>
  <si>
    <t xml:space="preserve">TOTAL MATERIAL</t>
  </si>
  <si>
    <t xml:space="preserve">EQUIPMENT SUMMARY</t>
  </si>
  <si>
    <t xml:space="preserve">Equipment Name</t>
  </si>
  <si>
    <t xml:space="preserve">Total Depreciation</t>
  </si>
  <si>
    <t xml:space="preserve">(For Reference)</t>
  </si>
  <si>
    <t xml:space="preserve">See Labor + Material</t>
  </si>
  <si>
    <t xml:space="preserve">TOTAL EQUIPMENT</t>
  </si>
  <si>
    <t xml:space="preserve">TOTAL DIRECT COST (Labor + Material + Equipment Operating)</t>
  </si>
  <si>
    <t xml:space="preserve">TOTAL DEPRECIATION</t>
  </si>
  <si>
    <t xml:space="preserve">GRAND TOTAL PROJECT COST</t>
  </si>
  <si>
    <t xml:space="preserve">DETAILED RESOURCE EXPLOSION CALCULATION</t>
  </si>
  <si>
    <t xml:space="preserve">STEP 1: BoQ Item Breakdown to Analysis</t>
  </si>
  <si>
    <t xml:space="preserve">BoQ Item</t>
  </si>
  <si>
    <t xml:space="preserve">BoQ Qty</t>
  </si>
  <si>
    <t xml:space="preserve">Analysis Code</t>
  </si>
  <si>
    <t xml:space="preserve">Coefficient</t>
  </si>
  <si>
    <t xml:space="preserve">Analysis Qty</t>
  </si>
  <si>
    <t xml:space="preserve">STEP 2A: Analysis 7001 (Excavation) - Direct Resources</t>
  </si>
  <si>
    <t xml:space="preserve">Resource Code</t>
  </si>
  <si>
    <t xml:space="preserve">Resource Name</t>
  </si>
  <si>
    <t xml:space="preserve">Qty per 1000m³</t>
  </si>
  <si>
    <t xml:space="preserve">Multiplier</t>
  </si>
  <si>
    <t xml:space="preserve">Total Resource</t>
  </si>
  <si>
    <t xml:space="preserve">STEP 2B: Equipment 6001 (Bulldozer) - Resource Explosion</t>
  </si>
  <si>
    <t xml:space="preserve">Qty per Hour</t>
  </si>
  <si>
    <t xml:space="preserve">Equipment Hours</t>
  </si>
  <si>
    <t xml:space="preserve">STEP 3A: Analysis 7002 (Soft Excavation) - Direct Resources</t>
  </si>
  <si>
    <t xml:space="preserve">Qty per 10000m³</t>
  </si>
  <si>
    <t xml:space="preserve">STEP 3B: Equipment 6002 (Roller) - Resource Explosion</t>
  </si>
  <si>
    <t xml:space="preserve">STEP 4: FINAL RESOURCE AGGREGATION</t>
  </si>
  <si>
    <t xml:space="preserve">From 7001 Direct</t>
  </si>
  <si>
    <t xml:space="preserve">From 6001</t>
  </si>
  <si>
    <t xml:space="preserve">From 7002 Direct</t>
  </si>
  <si>
    <t xml:space="preserve">From 6002</t>
  </si>
  <si>
    <t xml:space="preserve">TOTAL</t>
  </si>
  <si>
    <t xml:space="preserve">EQUIPMENT USAGE SUMMARY</t>
  </si>
  <si>
    <t xml:space="preserve">Equipment Code</t>
  </si>
  <si>
    <t xml:space="preserve">Depr/Hour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</si>
</sst>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.000"/>
    <numFmt numFmtId="168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203864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0070C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36609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366092"/>
      <name val="Cambria"/>
      <family val="0"/>
      <charset val="1"/>
    </font>
    <font>
      <b val="true"/>
      <sz val="14"/>
      <color rgb="FF70AD47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0.7999"/>
        <bgColor rgb="FFD9E1F2"/>
      </patternFill>
    </fill>
    <fill>
      <patternFill patternType="solid">
        <fgColor theme="5" tint="0.7999"/>
        <bgColor rgb="FFE2EFDA"/>
      </patternFill>
    </fill>
    <fill>
      <patternFill patternType="solid">
        <fgColor rgb="FFFF0000"/>
        <bgColor rgb="FFC00000"/>
      </patternFill>
    </fill>
    <fill>
      <patternFill patternType="solid">
        <fgColor rgb="FF366092"/>
        <bgColor rgb="FF333399"/>
      </patternFill>
    </fill>
    <fill>
      <patternFill patternType="solid">
        <fgColor rgb="FFD9E1F2"/>
        <bgColor rgb="FFDEEBF7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E2F0D9"/>
      </patternFill>
    </fill>
    <fill>
      <patternFill patternType="solid">
        <fgColor rgb="FFA9D08E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BE5D6"/>
      <rgbColor rgb="FFDEEBF7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70AD47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30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/>
    </row>
    <row r="5" customFormat="false" ht="23.25" hidden="false" customHeight="true" outlineLevel="0" collapsed="false">
      <c r="A5" s="4" t="s">
        <v>2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3</v>
      </c>
    </row>
    <row r="8" customFormat="false" ht="15" hidden="false" customHeight="true" outlineLevel="0" collapsed="false">
      <c r="A8" s="4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11</v>
      </c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 t="s">
        <v>15</v>
      </c>
    </row>
    <row r="22" customFormat="false" ht="15" hidden="false" customHeight="true" outlineLevel="0" collapsed="false">
      <c r="A22" s="4" t="s">
        <v>16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4" t="s">
        <v>17</v>
      </c>
    </row>
    <row r="25" customFormat="false" ht="15" hidden="false" customHeight="true" outlineLevel="0" collapsed="false">
      <c r="A25" s="4" t="s">
        <v>18</v>
      </c>
    </row>
    <row r="26" customFormat="false" ht="15" hidden="false" customHeight="true" outlineLevel="0" collapsed="false">
      <c r="A26" s="4" t="s">
        <v>19</v>
      </c>
    </row>
    <row r="27" customFormat="false" ht="15" hidden="false" customHeight="true" outlineLevel="0" collapsed="false">
      <c r="A27" s="4" t="s">
        <v>20</v>
      </c>
    </row>
    <row r="28" customFormat="false" ht="15" hidden="false" customHeight="true" outlineLevel="0" collapsed="false">
      <c r="A28" s="4" t="s">
        <v>21</v>
      </c>
    </row>
    <row r="29" customFormat="false" ht="15" hidden="false" customHeight="true" outlineLevel="0" collapsed="false">
      <c r="A29" s="4"/>
    </row>
    <row r="30" customFormat="false" ht="15" hidden="false" customHeight="true" outlineLevel="0" collapsed="false">
      <c r="A30" s="5" t="s">
        <v>22</v>
      </c>
    </row>
    <row r="31" customFormat="false" ht="15" hidden="false" customHeight="true" outlineLevel="0" collapsed="false">
      <c r="A31" s="4" t="s">
        <v>23</v>
      </c>
    </row>
    <row r="32" customFormat="false" ht="15" hidden="false" customHeight="true" outlineLevel="0" collapsed="false">
      <c r="A32" s="4" t="s">
        <v>24</v>
      </c>
    </row>
    <row r="33" customFormat="false" ht="15" hidden="false" customHeight="true" outlineLevel="0" collapsed="false">
      <c r="A33" s="4" t="s">
        <v>25</v>
      </c>
    </row>
    <row r="34" customFormat="false" ht="15" hidden="false" customHeight="true" outlineLevel="0" collapsed="false">
      <c r="A34" s="4"/>
    </row>
    <row r="35" customFormat="false" ht="15" hidden="false" customHeight="true" outlineLevel="0" collapsed="false">
      <c r="A35" s="5" t="s">
        <v>26</v>
      </c>
    </row>
    <row r="36" customFormat="false" ht="15" hidden="false" customHeight="true" outlineLevel="0" collapsed="false">
      <c r="A36" s="4" t="s">
        <v>27</v>
      </c>
    </row>
    <row r="37" customFormat="false" ht="15" hidden="false" customHeight="true" outlineLevel="0" collapsed="false">
      <c r="A37" s="4" t="s">
        <v>28</v>
      </c>
    </row>
    <row r="38" customFormat="false" ht="15" hidden="false" customHeight="true" outlineLevel="0" collapsed="false">
      <c r="A38" s="4" t="s">
        <v>29</v>
      </c>
    </row>
    <row r="39" customFormat="false" ht="15" hidden="false" customHeight="true" outlineLevel="0" collapsed="false">
      <c r="A39" s="4" t="s">
        <v>30</v>
      </c>
    </row>
    <row r="40" customFormat="false" ht="15" hidden="false" customHeight="true" outlineLevel="0" collapsed="false">
      <c r="A40" s="4" t="s">
        <v>31</v>
      </c>
    </row>
    <row r="41" customFormat="false" ht="15" hidden="false" customHeight="true" outlineLevel="0" collapsed="false">
      <c r="A41" s="4"/>
    </row>
    <row r="42" customFormat="false" ht="15" hidden="false" customHeight="true" outlineLevel="0" collapsed="false">
      <c r="A42" s="6" t="s">
        <v>32</v>
      </c>
    </row>
    <row r="43" customFormat="false" ht="15" hidden="false" customHeight="true" outlineLevel="0" collapsed="false">
      <c r="A43" s="4" t="s">
        <v>33</v>
      </c>
    </row>
    <row r="44" customFormat="false" ht="15" hidden="false" customHeight="true" outlineLevel="0" collapsed="false">
      <c r="A44" s="4" t="s">
        <v>34</v>
      </c>
    </row>
    <row r="45" customFormat="false" ht="15" hidden="false" customHeight="true" outlineLevel="0" collapsed="false">
      <c r="A45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91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E96" activeCellId="0" sqref="E9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.14"/>
    <col collapsed="false" customWidth="true" hidden="false" outlineLevel="0" max="3" min="3" style="1" width="11.85"/>
    <col collapsed="false" customWidth="true" hidden="false" outlineLevel="0" max="5" min="4" style="1" width="11.71"/>
    <col collapsed="false" customWidth="true" hidden="false" outlineLevel="0" max="6" min="6" style="1" width="10.85"/>
    <col collapsed="false" customWidth="true" hidden="false" outlineLevel="0" max="7" min="7" style="1" width="11.71"/>
  </cols>
  <sheetData>
    <row r="2" customFormat="false" ht="15" hidden="false" customHeight="true" outlineLevel="0" collapsed="false">
      <c r="A2" s="7" t="s">
        <v>36</v>
      </c>
      <c r="B2" s="8"/>
      <c r="C2" s="8"/>
      <c r="D2" s="8"/>
      <c r="E2" s="8"/>
    </row>
    <row r="3" customFormat="false" ht="15" hidden="false" customHeight="tru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</row>
    <row r="4" customFormat="false" ht="15" hidden="false" customHeight="true" outlineLevel="0" collapsed="false">
      <c r="A4" s="1" t="n">
        <v>1001</v>
      </c>
      <c r="B4" s="1" t="s">
        <v>42</v>
      </c>
      <c r="C4" s="10" t="s">
        <v>43</v>
      </c>
      <c r="D4" s="10" t="n">
        <v>2</v>
      </c>
      <c r="E4" s="11" t="n">
        <v>6</v>
      </c>
    </row>
    <row r="5" customFormat="false" ht="15" hidden="false" customHeight="true" outlineLevel="0" collapsed="false">
      <c r="A5" s="1" t="n">
        <v>1002</v>
      </c>
      <c r="B5" s="1" t="s">
        <v>44</v>
      </c>
      <c r="C5" s="10" t="s">
        <v>43</v>
      </c>
      <c r="D5" s="10" t="n">
        <v>2</v>
      </c>
      <c r="E5" s="11" t="n">
        <v>8</v>
      </c>
    </row>
    <row r="6" customFormat="false" ht="15" hidden="false" customHeight="true" outlineLevel="0" collapsed="false">
      <c r="A6" s="1" t="n">
        <v>1003</v>
      </c>
      <c r="B6" s="1" t="s">
        <v>45</v>
      </c>
      <c r="C6" s="10" t="s">
        <v>43</v>
      </c>
      <c r="D6" s="10" t="n">
        <v>2</v>
      </c>
      <c r="E6" s="11" t="n">
        <v>10</v>
      </c>
    </row>
    <row r="9" customFormat="false" ht="15" hidden="false" customHeight="true" outlineLevel="0" collapsed="false">
      <c r="A9" s="12" t="s">
        <v>46</v>
      </c>
      <c r="B9" s="13"/>
      <c r="C9" s="13"/>
      <c r="D9" s="13"/>
      <c r="E9" s="13"/>
    </row>
    <row r="10" customFormat="false" ht="15" hidden="false" customHeight="true" outlineLevel="0" collapsed="false">
      <c r="A10" s="9" t="s">
        <v>47</v>
      </c>
      <c r="B10" s="9" t="s">
        <v>48</v>
      </c>
      <c r="C10" s="9" t="s">
        <v>49</v>
      </c>
      <c r="D10" s="9" t="s">
        <v>50</v>
      </c>
      <c r="E10" s="9" t="s">
        <v>51</v>
      </c>
    </row>
    <row r="11" customFormat="false" ht="15" hidden="false" customHeight="true" outlineLevel="0" collapsed="false">
      <c r="A11" s="1" t="n">
        <v>2001</v>
      </c>
      <c r="B11" s="1" t="s">
        <v>52</v>
      </c>
      <c r="C11" s="10" t="s">
        <v>53</v>
      </c>
      <c r="D11" s="10" t="n">
        <v>2</v>
      </c>
      <c r="E11" s="11" t="n">
        <v>4.55</v>
      </c>
    </row>
    <row r="12" customFormat="false" ht="15" hidden="false" customHeight="true" outlineLevel="0" collapsed="false">
      <c r="A12" s="1" t="n">
        <v>2002</v>
      </c>
      <c r="B12" s="1" t="s">
        <v>54</v>
      </c>
      <c r="C12" s="10" t="s">
        <v>53</v>
      </c>
      <c r="D12" s="10" t="n">
        <v>2</v>
      </c>
      <c r="E12" s="11" t="n">
        <v>5</v>
      </c>
    </row>
    <row r="13" customFormat="false" ht="15" hidden="false" customHeight="true" outlineLevel="0" collapsed="false">
      <c r="A13" s="1" t="n">
        <v>2003</v>
      </c>
      <c r="B13" s="1" t="s">
        <v>55</v>
      </c>
      <c r="C13" s="10" t="s">
        <v>56</v>
      </c>
      <c r="D13" s="10" t="n">
        <v>2</v>
      </c>
      <c r="E13" s="11" t="n">
        <v>100</v>
      </c>
    </row>
    <row r="14" customFormat="false" ht="15" hidden="false" customHeight="true" outlineLevel="0" collapsed="false">
      <c r="C14" s="10"/>
      <c r="D14" s="10"/>
      <c r="E14" s="11"/>
    </row>
    <row r="15" customFormat="false" ht="15" hidden="false" customHeight="true" outlineLevel="0" collapsed="false">
      <c r="C15" s="10"/>
      <c r="D15" s="10"/>
      <c r="E15" s="11"/>
    </row>
    <row r="16" customFormat="false" ht="15" hidden="false" customHeight="true" outlineLevel="0" collapsed="false">
      <c r="A16" s="14" t="s">
        <v>57</v>
      </c>
      <c r="B16" s="15"/>
      <c r="C16" s="15"/>
      <c r="D16" s="15"/>
      <c r="E16" s="15"/>
      <c r="F16" s="15"/>
    </row>
    <row r="17" customFormat="false" ht="15" hidden="false" customHeight="true" outlineLevel="0" collapsed="false">
      <c r="A17" s="9" t="s">
        <v>58</v>
      </c>
      <c r="B17" s="9" t="s">
        <v>59</v>
      </c>
      <c r="C17" s="9" t="s">
        <v>60</v>
      </c>
      <c r="D17" s="9" t="s">
        <v>61</v>
      </c>
      <c r="E17" s="9" t="s">
        <v>62</v>
      </c>
      <c r="F17" s="9" t="s">
        <v>63</v>
      </c>
    </row>
    <row r="18" customFormat="false" ht="15" hidden="false" customHeight="true" outlineLevel="0" collapsed="false">
      <c r="A18" s="1" t="n">
        <f aca="false">+A26</f>
        <v>6001</v>
      </c>
      <c r="B18" s="1" t="str">
        <f aca="false">+B26</f>
        <v>Bulldozer</v>
      </c>
      <c r="C18" s="1" t="str">
        <f aca="false">+C26</f>
        <v>hr</v>
      </c>
      <c r="D18" s="11" t="n">
        <f aca="false">+F26</f>
        <v>192</v>
      </c>
      <c r="E18" s="11" t="n">
        <f aca="false">+G26</f>
        <v>25</v>
      </c>
      <c r="F18" s="11" t="n">
        <f aca="false">+H26</f>
        <v>217</v>
      </c>
    </row>
    <row r="19" customFormat="false" ht="15" hidden="false" customHeight="true" outlineLevel="0" collapsed="false">
      <c r="A19" s="1" t="n">
        <f aca="false">+A32</f>
        <v>6002</v>
      </c>
      <c r="B19" s="1" t="str">
        <f aca="false">+B32</f>
        <v>Roller</v>
      </c>
      <c r="C19" s="1" t="str">
        <f aca="false">+C32</f>
        <v>hr</v>
      </c>
      <c r="D19" s="16" t="n">
        <f aca="false">+F32</f>
        <v>101</v>
      </c>
      <c r="E19" s="16" t="n">
        <f aca="false">+G32</f>
        <v>10</v>
      </c>
      <c r="F19" s="16" t="n">
        <f aca="false">+H32</f>
        <v>111</v>
      </c>
    </row>
    <row r="20" customFormat="false" ht="15" hidden="false" customHeight="true" outlineLevel="0" collapsed="false">
      <c r="C20" s="10"/>
      <c r="D20" s="10"/>
      <c r="E20" s="11"/>
    </row>
    <row r="21" customFormat="false" ht="15" hidden="false" customHeight="true" outlineLevel="0" collapsed="false">
      <c r="C21" s="10"/>
      <c r="D21" s="10"/>
      <c r="E21" s="11"/>
    </row>
    <row r="22" customFormat="false" ht="15" hidden="false" customHeight="true" outlineLevel="0" collapsed="false">
      <c r="C22" s="10"/>
      <c r="D22" s="10"/>
      <c r="E22" s="11"/>
    </row>
    <row r="23" customFormat="false" ht="16.5" hidden="false" customHeight="true" outlineLevel="0" collapsed="false">
      <c r="C23" s="10"/>
      <c r="D23" s="10"/>
      <c r="E23" s="11"/>
    </row>
    <row r="24" customFormat="false" ht="15" hidden="false" customHeight="true" outlineLevel="0" collapsed="false">
      <c r="A24" s="14" t="s">
        <v>64</v>
      </c>
      <c r="B24" s="15"/>
      <c r="C24" s="15"/>
      <c r="D24" s="15"/>
      <c r="E24" s="15"/>
      <c r="F24" s="15"/>
      <c r="G24" s="15"/>
      <c r="H24" s="15"/>
    </row>
    <row r="25" customFormat="false" ht="15" hidden="false" customHeight="true" outlineLevel="0" collapsed="false">
      <c r="A25" s="9" t="s">
        <v>58</v>
      </c>
      <c r="B25" s="9" t="s">
        <v>59</v>
      </c>
      <c r="C25" s="9" t="s">
        <v>60</v>
      </c>
      <c r="D25" s="9" t="s">
        <v>65</v>
      </c>
      <c r="E25" s="9" t="s">
        <v>66</v>
      </c>
      <c r="F25" s="9" t="s">
        <v>61</v>
      </c>
      <c r="G25" s="9" t="s">
        <v>62</v>
      </c>
      <c r="H25" s="9" t="s">
        <v>63</v>
      </c>
    </row>
    <row r="26" customFormat="false" ht="15" hidden="false" customHeight="true" outlineLevel="0" collapsed="false">
      <c r="A26" s="1" t="n">
        <v>6001</v>
      </c>
      <c r="B26" s="1" t="s">
        <v>67</v>
      </c>
      <c r="C26" s="10" t="s">
        <v>43</v>
      </c>
      <c r="D26" s="17" t="n">
        <v>500000</v>
      </c>
      <c r="E26" s="17" t="n">
        <v>20000</v>
      </c>
      <c r="F26" s="11" t="n">
        <f aca="false">SUM(F28:F29)</f>
        <v>192</v>
      </c>
      <c r="G26" s="11" t="n">
        <f aca="false">+D26/E26</f>
        <v>25</v>
      </c>
      <c r="H26" s="11" t="n">
        <f aca="false">+F26+G26</f>
        <v>217</v>
      </c>
    </row>
    <row r="27" customFormat="false" ht="15" hidden="false" customHeight="true" outlineLevel="0" collapsed="false">
      <c r="F27" s="11"/>
    </row>
    <row r="28" customFormat="false" ht="15" hidden="false" customHeight="true" outlineLevel="0" collapsed="false">
      <c r="A28" s="1" t="n">
        <v>1003</v>
      </c>
      <c r="B28" s="1" t="str">
        <f aca="false">VLOOKUP(A28,A4:E6,2)</f>
        <v>Skilled Laborer</v>
      </c>
      <c r="C28" s="1" t="n">
        <v>1</v>
      </c>
      <c r="F28" s="11" t="n">
        <f aca="false">VLOOKUP(A28,A4:E6,5)*C28</f>
        <v>10</v>
      </c>
    </row>
    <row r="29" customFormat="false" ht="15" hidden="false" customHeight="true" outlineLevel="0" collapsed="false">
      <c r="A29" s="1" t="n">
        <v>2001</v>
      </c>
      <c r="B29" s="1" t="str">
        <f aca="false">VLOOKUP(A29,A11:E13,2)</f>
        <v>Diesel</v>
      </c>
      <c r="C29" s="1" t="n">
        <v>40</v>
      </c>
      <c r="F29" s="11" t="n">
        <f aca="false">VLOOKUP(A29,A11:E13,5)*C29</f>
        <v>182</v>
      </c>
    </row>
    <row r="31" customFormat="false" ht="15" hidden="false" customHeight="true" outlineLevel="0" collapsed="false">
      <c r="A31" s="9" t="s">
        <v>58</v>
      </c>
      <c r="B31" s="9" t="s">
        <v>59</v>
      </c>
      <c r="C31" s="9" t="s">
        <v>60</v>
      </c>
      <c r="D31" s="9" t="s">
        <v>65</v>
      </c>
      <c r="E31" s="9" t="s">
        <v>66</v>
      </c>
      <c r="F31" s="9" t="s">
        <v>61</v>
      </c>
      <c r="G31" s="9" t="s">
        <v>62</v>
      </c>
      <c r="H31" s="9" t="s">
        <v>63</v>
      </c>
    </row>
    <row r="32" customFormat="false" ht="15" hidden="false" customHeight="true" outlineLevel="0" collapsed="false">
      <c r="A32" s="1" t="n">
        <v>6002</v>
      </c>
      <c r="B32" s="1" t="s">
        <v>68</v>
      </c>
      <c r="C32" s="10" t="s">
        <v>43</v>
      </c>
      <c r="D32" s="17" t="n">
        <v>250000</v>
      </c>
      <c r="E32" s="17" t="n">
        <v>25000</v>
      </c>
      <c r="F32" s="11" t="n">
        <f aca="false">SUM(F34:F35)</f>
        <v>101</v>
      </c>
      <c r="G32" s="11" t="n">
        <f aca="false">+D32/E32</f>
        <v>10</v>
      </c>
      <c r="H32" s="11" t="n">
        <f aca="false">+F32+G32</f>
        <v>111</v>
      </c>
    </row>
    <row r="33" customFormat="false" ht="15" hidden="false" customHeight="true" outlineLevel="0" collapsed="false">
      <c r="F33" s="11"/>
    </row>
    <row r="34" customFormat="false" ht="15" hidden="false" customHeight="true" outlineLevel="0" collapsed="false">
      <c r="A34" s="1" t="n">
        <v>1003</v>
      </c>
      <c r="B34" s="1" t="str">
        <f aca="false">VLOOKUP(A34,A4:E6,2)</f>
        <v>Skilled Laborer</v>
      </c>
      <c r="C34" s="1" t="n">
        <v>1</v>
      </c>
      <c r="F34" s="11" t="n">
        <f aca="false">VLOOKUP(A34,A4:E6,5)*C34</f>
        <v>10</v>
      </c>
    </row>
    <row r="35" customFormat="false" ht="15" hidden="false" customHeight="true" outlineLevel="0" collapsed="false">
      <c r="A35" s="1" t="n">
        <v>2001</v>
      </c>
      <c r="B35" s="1" t="str">
        <f aca="false">VLOOKUP(A35,A11:E13,2)</f>
        <v>Diesel</v>
      </c>
      <c r="C35" s="1" t="n">
        <v>20</v>
      </c>
      <c r="F35" s="11" t="n">
        <f aca="false">VLOOKUP(A35,A11:E13,5)*C35</f>
        <v>91</v>
      </c>
    </row>
    <row r="38" customFormat="false" ht="15" hidden="false" customHeight="true" outlineLevel="0" collapsed="false">
      <c r="A38" s="14" t="s">
        <v>69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9" t="s">
        <v>58</v>
      </c>
      <c r="B39" s="9" t="s">
        <v>70</v>
      </c>
      <c r="C39" s="9" t="s">
        <v>71</v>
      </c>
    </row>
    <row r="40" customFormat="false" ht="15" hidden="false" customHeight="true" outlineLevel="0" collapsed="false">
      <c r="A40" s="1" t="n">
        <f aca="false">+A26</f>
        <v>6001</v>
      </c>
      <c r="B40" s="1" t="n">
        <f aca="false">+A28</f>
        <v>1003</v>
      </c>
      <c r="C40" s="1" t="n">
        <f aca="false">+C28</f>
        <v>1</v>
      </c>
    </row>
    <row r="41" customFormat="false" ht="15" hidden="false" customHeight="true" outlineLevel="0" collapsed="false">
      <c r="A41" s="1" t="n">
        <f aca="false">+A26</f>
        <v>6001</v>
      </c>
      <c r="B41" s="1" t="n">
        <f aca="false">+A29</f>
        <v>2001</v>
      </c>
      <c r="C41" s="1" t="n">
        <f aca="false">+C29</f>
        <v>40</v>
      </c>
    </row>
    <row r="42" customFormat="false" ht="15" hidden="false" customHeight="true" outlineLevel="0" collapsed="false">
      <c r="A42" s="1" t="n">
        <f aca="false">+A32</f>
        <v>6002</v>
      </c>
      <c r="B42" s="1" t="n">
        <f aca="false">+A34</f>
        <v>1003</v>
      </c>
      <c r="C42" s="1" t="n">
        <f aca="false">+C34</f>
        <v>1</v>
      </c>
    </row>
    <row r="43" customFormat="false" ht="15" hidden="false" customHeight="true" outlineLevel="0" collapsed="false">
      <c r="A43" s="1" t="n">
        <f aca="false">+A32</f>
        <v>6002</v>
      </c>
      <c r="B43" s="1" t="n">
        <f aca="false">+A35</f>
        <v>2001</v>
      </c>
      <c r="C43" s="1" t="n">
        <f aca="false">+C35</f>
        <v>20</v>
      </c>
    </row>
    <row r="47" customFormat="false" ht="15" hidden="false" customHeight="true" outlineLevel="0" collapsed="false">
      <c r="A47" s="18" t="s">
        <v>72</v>
      </c>
      <c r="B47" s="19"/>
      <c r="C47" s="19"/>
      <c r="D47" s="19"/>
      <c r="E47" s="19"/>
      <c r="F47" s="19"/>
    </row>
    <row r="48" customFormat="false" ht="15" hidden="false" customHeight="true" outlineLevel="0" collapsed="false">
      <c r="A48" s="9" t="s">
        <v>73</v>
      </c>
      <c r="B48" s="9" t="s">
        <v>74</v>
      </c>
      <c r="C48" s="9" t="s">
        <v>75</v>
      </c>
      <c r="D48" s="9" t="s">
        <v>76</v>
      </c>
      <c r="E48" s="9" t="s">
        <v>77</v>
      </c>
      <c r="F48" s="9" t="s">
        <v>78</v>
      </c>
    </row>
    <row r="49" customFormat="false" ht="15" hidden="false" customHeight="true" outlineLevel="0" collapsed="false">
      <c r="A49" s="1" t="n">
        <f aca="false">+A57</f>
        <v>7001</v>
      </c>
      <c r="B49" s="1" t="str">
        <f aca="false">+B57</f>
        <v>Excavation</v>
      </c>
      <c r="C49" s="1" t="str">
        <f aca="false">+C57</f>
        <v>cum</v>
      </c>
      <c r="D49" s="11" t="n">
        <f aca="false">+E57</f>
        <v>1.936</v>
      </c>
      <c r="E49" s="11" t="n">
        <f aca="false">+F57</f>
        <v>0.25</v>
      </c>
      <c r="F49" s="11" t="n">
        <f aca="false">+G57</f>
        <v>2.186</v>
      </c>
    </row>
    <row r="50" customFormat="false" ht="15" hidden="false" customHeight="true" outlineLevel="0" collapsed="false">
      <c r="A50" s="1" t="n">
        <f aca="false">+A63</f>
        <v>7002</v>
      </c>
      <c r="B50" s="1" t="str">
        <f aca="false">+B63</f>
        <v>Soft Excavation</v>
      </c>
      <c r="C50" s="1" t="str">
        <f aca="false">+C63</f>
        <v>cum</v>
      </c>
      <c r="D50" s="1" t="n">
        <f aca="false">+E63</f>
        <v>3.04</v>
      </c>
      <c r="E50" s="1" t="n">
        <f aca="false">+F63</f>
        <v>0.2</v>
      </c>
      <c r="F50" s="1" t="n">
        <f aca="false">+G63</f>
        <v>3.24</v>
      </c>
    </row>
    <row r="55" customFormat="false" ht="15" hidden="false" customHeight="true" outlineLevel="0" collapsed="false">
      <c r="A55" s="18" t="s">
        <v>79</v>
      </c>
      <c r="B55" s="18"/>
      <c r="C55" s="18"/>
      <c r="D55" s="18"/>
      <c r="E55" s="19"/>
      <c r="F55" s="19"/>
      <c r="G55" s="19"/>
    </row>
    <row r="56" customFormat="false" ht="15" hidden="false" customHeight="true" outlineLevel="0" collapsed="false">
      <c r="A56" s="9" t="s">
        <v>73</v>
      </c>
      <c r="B56" s="9" t="s">
        <v>74</v>
      </c>
      <c r="C56" s="9" t="s">
        <v>75</v>
      </c>
      <c r="D56" s="9" t="s">
        <v>80</v>
      </c>
      <c r="E56" s="9" t="s">
        <v>76</v>
      </c>
      <c r="F56" s="9" t="s">
        <v>77</v>
      </c>
      <c r="G56" s="9" t="s">
        <v>78</v>
      </c>
    </row>
    <row r="57" customFormat="false" ht="15" hidden="false" customHeight="true" outlineLevel="0" collapsed="false">
      <c r="A57" s="1" t="n">
        <v>7001</v>
      </c>
      <c r="B57" s="1" t="s">
        <v>81</v>
      </c>
      <c r="C57" s="1" t="s">
        <v>82</v>
      </c>
      <c r="D57" s="17" t="n">
        <v>1000</v>
      </c>
      <c r="E57" s="1" t="n">
        <f aca="false">SUM(E59:E60)/D57</f>
        <v>1.936</v>
      </c>
      <c r="F57" s="1" t="n">
        <f aca="false">SUM(F59:F60)/D57</f>
        <v>0.25</v>
      </c>
      <c r="G57" s="1" t="n">
        <f aca="false">SUM(E57:F57)</f>
        <v>2.186</v>
      </c>
    </row>
    <row r="59" customFormat="false" ht="15" hidden="false" customHeight="true" outlineLevel="0" collapsed="false">
      <c r="A59" s="1" t="n">
        <v>1002</v>
      </c>
      <c r="B59" s="1" t="str">
        <f aca="false">VLOOKUP(A59,A4:E6,2)</f>
        <v>Semi-skilled Laborer</v>
      </c>
      <c r="C59" s="1" t="n">
        <v>2</v>
      </c>
      <c r="E59" s="1" t="n">
        <f aca="false">VLOOKUP(A59,A4:E6,5)*C59</f>
        <v>16</v>
      </c>
    </row>
    <row r="60" customFormat="false" ht="15" hidden="false" customHeight="true" outlineLevel="0" collapsed="false">
      <c r="A60" s="1" t="n">
        <v>6001</v>
      </c>
      <c r="B60" s="1" t="str">
        <f aca="false">VLOOKUP(A60,A18:F19,2)</f>
        <v>Bulldozer</v>
      </c>
      <c r="C60" s="1" t="n">
        <v>10</v>
      </c>
      <c r="E60" s="1" t="n">
        <f aca="false">VLOOKUP(A60,A18:F19,4)*C60</f>
        <v>1920</v>
      </c>
      <c r="F60" s="1" t="n">
        <f aca="false">VLOOKUP(A60,A18:F19,5)*10</f>
        <v>250</v>
      </c>
    </row>
    <row r="62" customFormat="false" ht="15" hidden="false" customHeight="true" outlineLevel="0" collapsed="false">
      <c r="A62" s="9" t="s">
        <v>73</v>
      </c>
      <c r="B62" s="9" t="s">
        <v>74</v>
      </c>
      <c r="C62" s="9" t="s">
        <v>75</v>
      </c>
      <c r="D62" s="9" t="s">
        <v>80</v>
      </c>
      <c r="E62" s="9" t="s">
        <v>76</v>
      </c>
      <c r="F62" s="9" t="s">
        <v>77</v>
      </c>
      <c r="G62" s="9" t="s">
        <v>78</v>
      </c>
    </row>
    <row r="63" customFormat="false" ht="15" hidden="false" customHeight="true" outlineLevel="0" collapsed="false">
      <c r="A63" s="1" t="n">
        <v>7002</v>
      </c>
      <c r="B63" s="1" t="s">
        <v>83</v>
      </c>
      <c r="C63" s="1" t="s">
        <v>82</v>
      </c>
      <c r="D63" s="17" t="n">
        <v>10000</v>
      </c>
      <c r="E63" s="1" t="n">
        <f aca="false">SUM(E65:E67)/D63</f>
        <v>3.04</v>
      </c>
      <c r="F63" s="1" t="n">
        <f aca="false">SUM(F65:F67)/D63</f>
        <v>0.2</v>
      </c>
      <c r="G63" s="1" t="n">
        <f aca="false">SUM(E63:F63)</f>
        <v>3.24</v>
      </c>
    </row>
    <row r="65" customFormat="false" ht="15" hidden="false" customHeight="true" outlineLevel="0" collapsed="false">
      <c r="A65" s="1" t="n">
        <v>1003</v>
      </c>
      <c r="B65" s="1" t="str">
        <f aca="false">VLOOKUP(A65,A4:E6,2)</f>
        <v>Skilled Laborer</v>
      </c>
      <c r="C65" s="1" t="n">
        <v>20</v>
      </c>
      <c r="E65" s="1" t="n">
        <f aca="false">VLOOKUP(A65,A4:E6,5)*C65</f>
        <v>200</v>
      </c>
    </row>
    <row r="66" customFormat="false" ht="15" hidden="false" customHeight="true" outlineLevel="0" collapsed="false">
      <c r="A66" s="1" t="n">
        <v>6002</v>
      </c>
      <c r="B66" s="1" t="str">
        <f aca="false">VLOOKUP(A66,A18:F19,2)</f>
        <v>Roller</v>
      </c>
      <c r="C66" s="1" t="n">
        <v>200</v>
      </c>
      <c r="E66" s="1" t="n">
        <f aca="false">VLOOKUP(A66,A18:F19,4)*C66</f>
        <v>20200</v>
      </c>
      <c r="F66" s="1" t="n">
        <f aca="false">VLOOKUP(A66,A18:F19,5)*C66</f>
        <v>2000</v>
      </c>
    </row>
    <row r="67" customFormat="false" ht="15" hidden="false" customHeight="true" outlineLevel="0" collapsed="false">
      <c r="A67" s="1" t="n">
        <v>2003</v>
      </c>
      <c r="B67" s="1" t="str">
        <f aca="false">VLOOKUP(A67,A11:E13,2)</f>
        <v>Cement</v>
      </c>
      <c r="C67" s="1" t="n">
        <v>100</v>
      </c>
      <c r="E67" s="1" t="n">
        <f aca="false">VLOOKUP(A67,A11:E13,5)*C67</f>
        <v>10000</v>
      </c>
    </row>
    <row r="70" customFormat="false" ht="15" hidden="false" customHeight="true" outlineLevel="0" collapsed="false">
      <c r="A70" s="18" t="s">
        <v>84</v>
      </c>
      <c r="B70" s="18"/>
      <c r="C70" s="18"/>
      <c r="D70" s="18"/>
    </row>
    <row r="71" customFormat="false" ht="15" hidden="false" customHeight="true" outlineLevel="0" collapsed="false">
      <c r="A71" s="9" t="s">
        <v>73</v>
      </c>
      <c r="B71" s="9" t="s">
        <v>85</v>
      </c>
      <c r="C71" s="9" t="s">
        <v>86</v>
      </c>
      <c r="D71" s="9" t="s">
        <v>87</v>
      </c>
      <c r="E71" s="9"/>
    </row>
    <row r="72" customFormat="false" ht="15" hidden="false" customHeight="true" outlineLevel="0" collapsed="false">
      <c r="A72" s="1" t="n">
        <f aca="false">+A57</f>
        <v>7001</v>
      </c>
      <c r="B72" s="1" t="n">
        <f aca="false">+A59</f>
        <v>1002</v>
      </c>
      <c r="C72" s="20" t="n">
        <f aca="false">+E59/D57</f>
        <v>0.016</v>
      </c>
      <c r="D72" s="20" t="n">
        <f aca="false">+F59/D57</f>
        <v>0</v>
      </c>
      <c r="E72" s="20"/>
    </row>
    <row r="73" customFormat="false" ht="15" hidden="false" customHeight="true" outlineLevel="0" collapsed="false">
      <c r="A73" s="1" t="n">
        <f aca="false">+A57</f>
        <v>7001</v>
      </c>
      <c r="B73" s="1" t="n">
        <f aca="false">+A60</f>
        <v>6001</v>
      </c>
      <c r="C73" s="20" t="n">
        <f aca="false">+E60/D57</f>
        <v>1.92</v>
      </c>
      <c r="D73" s="20" t="n">
        <f aca="false">+F60/D57</f>
        <v>0.25</v>
      </c>
      <c r="E73" s="20"/>
    </row>
    <row r="74" customFormat="false" ht="15" hidden="false" customHeight="true" outlineLevel="0" collapsed="false">
      <c r="A74" s="1" t="n">
        <f aca="false">+A63</f>
        <v>7002</v>
      </c>
      <c r="B74" s="1" t="n">
        <f aca="false">+A65</f>
        <v>1003</v>
      </c>
      <c r="C74" s="20" t="n">
        <f aca="false">+E65/D63</f>
        <v>0.02</v>
      </c>
      <c r="D74" s="20" t="n">
        <f aca="false">+F65/D63</f>
        <v>0</v>
      </c>
      <c r="E74" s="20"/>
    </row>
    <row r="75" customFormat="false" ht="15" hidden="false" customHeight="true" outlineLevel="0" collapsed="false">
      <c r="A75" s="1" t="n">
        <f aca="false">+A63</f>
        <v>7002</v>
      </c>
      <c r="B75" s="1" t="n">
        <f aca="false">+A66</f>
        <v>6002</v>
      </c>
      <c r="C75" s="20" t="n">
        <f aca="false">+E66/D63</f>
        <v>2.02</v>
      </c>
      <c r="D75" s="20" t="n">
        <f aca="false">+F66/D63</f>
        <v>0.2</v>
      </c>
      <c r="E75" s="20"/>
    </row>
    <row r="76" customFormat="false" ht="15" hidden="false" customHeight="true" outlineLevel="0" collapsed="false">
      <c r="A76" s="1" t="n">
        <f aca="false">+A63</f>
        <v>7002</v>
      </c>
      <c r="B76" s="1" t="n">
        <f aca="false">+A67</f>
        <v>2003</v>
      </c>
      <c r="C76" s="20" t="n">
        <f aca="false">+E67/D63</f>
        <v>1</v>
      </c>
      <c r="D76" s="20" t="n">
        <f aca="false">+F67/D63</f>
        <v>0</v>
      </c>
      <c r="E76" s="20"/>
    </row>
    <row r="80" customFormat="false" ht="15" hidden="false" customHeight="true" outlineLevel="0" collapsed="false">
      <c r="A80" s="21" t="s">
        <v>88</v>
      </c>
      <c r="B80" s="21"/>
      <c r="C80" s="21"/>
      <c r="D80" s="21"/>
      <c r="E80" s="21"/>
      <c r="F80" s="21"/>
      <c r="G80" s="21"/>
    </row>
    <row r="81" customFormat="false" ht="15" hidden="false" customHeight="true" outlineLevel="0" collapsed="false">
      <c r="A81" s="9" t="s">
        <v>89</v>
      </c>
      <c r="B81" s="9" t="s">
        <v>90</v>
      </c>
      <c r="C81" s="9" t="s">
        <v>91</v>
      </c>
      <c r="D81" s="9" t="s">
        <v>92</v>
      </c>
      <c r="E81" s="9" t="s">
        <v>93</v>
      </c>
      <c r="F81" s="9" t="s">
        <v>94</v>
      </c>
      <c r="G81" s="9" t="s">
        <v>95</v>
      </c>
    </row>
    <row r="82" customFormat="false" ht="15" hidden="false" customHeight="true" outlineLevel="0" collapsed="false">
      <c r="A82" s="1" t="n">
        <f aca="false">+A88</f>
        <v>9001</v>
      </c>
      <c r="B82" s="1" t="str">
        <f aca="false">+B88</f>
        <v>Excavation in Bulk</v>
      </c>
      <c r="C82" s="1" t="str">
        <f aca="false">+C88</f>
        <v>cum</v>
      </c>
      <c r="D82" s="22" t="n">
        <f aca="false">+D88</f>
        <v>1000000</v>
      </c>
      <c r="E82" s="22" t="n">
        <f aca="false">+E88</f>
        <v>2488000</v>
      </c>
      <c r="F82" s="22" t="n">
        <f aca="false">+F88</f>
        <v>225000</v>
      </c>
      <c r="G82" s="22" t="n">
        <f aca="false">+G88</f>
        <v>2713000</v>
      </c>
    </row>
    <row r="86" customFormat="false" ht="15" hidden="false" customHeight="true" outlineLevel="0" collapsed="false">
      <c r="A86" s="21" t="s">
        <v>96</v>
      </c>
      <c r="B86" s="21"/>
      <c r="C86" s="21"/>
      <c r="D86" s="21"/>
      <c r="E86" s="21"/>
      <c r="F86" s="21"/>
      <c r="G86" s="21"/>
    </row>
    <row r="87" customFormat="false" ht="15" hidden="false" customHeight="true" outlineLevel="0" collapsed="false">
      <c r="A87" s="9" t="s">
        <v>89</v>
      </c>
      <c r="B87" s="9" t="s">
        <v>90</v>
      </c>
      <c r="C87" s="9" t="s">
        <v>91</v>
      </c>
      <c r="D87" s="9" t="s">
        <v>92</v>
      </c>
      <c r="E87" s="9" t="s">
        <v>93</v>
      </c>
      <c r="F87" s="9" t="s">
        <v>94</v>
      </c>
      <c r="G87" s="9" t="s">
        <v>95</v>
      </c>
    </row>
    <row r="88" customFormat="false" ht="15" hidden="false" customHeight="true" outlineLevel="0" collapsed="false">
      <c r="A88" s="1" t="n">
        <v>9001</v>
      </c>
      <c r="B88" s="1" t="s">
        <v>97</v>
      </c>
      <c r="C88" s="1" t="s">
        <v>82</v>
      </c>
      <c r="D88" s="22" t="n">
        <v>1000000</v>
      </c>
      <c r="E88" s="22" t="n">
        <f aca="false">SUM(E90:E91)*D88</f>
        <v>2488000</v>
      </c>
      <c r="F88" s="22" t="n">
        <f aca="false">SUM(F90:F91)*D88</f>
        <v>225000</v>
      </c>
      <c r="G88" s="22" t="n">
        <f aca="false">SUM(E88:F88)</f>
        <v>2713000</v>
      </c>
    </row>
    <row r="90" customFormat="false" ht="15" hidden="false" customHeight="true" outlineLevel="0" collapsed="false">
      <c r="A90" s="1" t="n">
        <v>7001</v>
      </c>
      <c r="B90" s="1" t="str">
        <f aca="false">VLOOKUP(A90,A49:F50,2)</f>
        <v>Excavation</v>
      </c>
      <c r="C90" s="1" t="n">
        <v>0.5</v>
      </c>
      <c r="E90" s="1" t="n">
        <f aca="false">VLOOKUP(A90,A49:F50,4)*0.5</f>
        <v>0.968</v>
      </c>
      <c r="F90" s="1" t="n">
        <f aca="false">VLOOKUP(A90,A49:F50,5)*0.5</f>
        <v>0.125</v>
      </c>
    </row>
    <row r="91" customFormat="false" ht="15" hidden="false" customHeight="true" outlineLevel="0" collapsed="false">
      <c r="A91" s="1" t="n">
        <v>7002</v>
      </c>
      <c r="B91" s="1" t="str">
        <f aca="false">VLOOKUP(A91,A49:F50,2)</f>
        <v>Soft Excavation</v>
      </c>
      <c r="C91" s="1" t="n">
        <v>0.5</v>
      </c>
      <c r="E91" s="1" t="n">
        <f aca="false">VLOOKUP(A91,A49:F50,4)*0.5</f>
        <v>1.52</v>
      </c>
      <c r="F91" s="1" t="n">
        <f aca="false">VLOOKUP(A91,A49:F50,5)*0.5</f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6" min="5" style="1" width="15"/>
  </cols>
  <sheetData>
    <row r="1" customFormat="false" ht="17.25" hidden="false" customHeight="true" outlineLevel="0" collapsed="false">
      <c r="A1" s="23" t="s">
        <v>98</v>
      </c>
      <c r="B1" s="23"/>
      <c r="C1" s="23"/>
      <c r="D1" s="23"/>
      <c r="E1" s="23"/>
      <c r="F1" s="23"/>
    </row>
    <row r="3" customFormat="false" ht="15" hidden="false" customHeight="true" outlineLevel="0" collapsed="false">
      <c r="A3" s="24" t="s">
        <v>99</v>
      </c>
      <c r="B3" s="24"/>
      <c r="C3" s="24"/>
      <c r="D3" s="24"/>
      <c r="E3" s="24"/>
      <c r="F3" s="24"/>
    </row>
    <row r="4" customFormat="false" ht="15" hidden="false" customHeight="true" outlineLevel="0" collapsed="false">
      <c r="A4" s="25" t="s">
        <v>37</v>
      </c>
      <c r="B4" s="25" t="s">
        <v>100</v>
      </c>
      <c r="C4" s="25" t="s">
        <v>101</v>
      </c>
      <c r="D4" s="25" t="s">
        <v>102</v>
      </c>
      <c r="E4" s="25" t="s">
        <v>103</v>
      </c>
      <c r="F4" s="25" t="s">
        <v>104</v>
      </c>
    </row>
    <row r="5" customFormat="false" ht="15" hidden="false" customHeight="true" outlineLevel="0" collapsed="false">
      <c r="A5" s="26" t="n">
        <v>1001</v>
      </c>
      <c r="B5" s="26" t="s">
        <v>42</v>
      </c>
      <c r="C5" s="27" t="n">
        <v>0</v>
      </c>
      <c r="D5" s="26" t="s">
        <v>43</v>
      </c>
      <c r="E5" s="27" t="n">
        <v>6</v>
      </c>
      <c r="F5" s="27" t="n">
        <f aca="false">C5*E5</f>
        <v>0</v>
      </c>
    </row>
    <row r="6" customFormat="false" ht="15" hidden="false" customHeight="true" outlineLevel="0" collapsed="false">
      <c r="A6" s="26" t="n">
        <v>1002</v>
      </c>
      <c r="B6" s="26" t="s">
        <v>44</v>
      </c>
      <c r="C6" s="27" t="n">
        <v>1000</v>
      </c>
      <c r="D6" s="26" t="s">
        <v>43</v>
      </c>
      <c r="E6" s="27" t="n">
        <v>8</v>
      </c>
      <c r="F6" s="27" t="n">
        <f aca="false">C6*E6</f>
        <v>8000</v>
      </c>
    </row>
    <row r="7" customFormat="false" ht="15" hidden="false" customHeight="true" outlineLevel="0" collapsed="false">
      <c r="A7" s="26" t="n">
        <v>1003</v>
      </c>
      <c r="B7" s="26" t="s">
        <v>45</v>
      </c>
      <c r="C7" s="27" t="n">
        <v>16000</v>
      </c>
      <c r="D7" s="26" t="s">
        <v>43</v>
      </c>
      <c r="E7" s="27" t="n">
        <v>10</v>
      </c>
      <c r="F7" s="27" t="n">
        <f aca="false">C7*E7</f>
        <v>160000</v>
      </c>
    </row>
    <row r="8" customFormat="false" ht="15" hidden="false" customHeight="true" outlineLevel="0" collapsed="false">
      <c r="B8" s="28" t="s">
        <v>105</v>
      </c>
      <c r="F8" s="29" t="n">
        <f aca="false">SUM(F5:F7)</f>
        <v>168000</v>
      </c>
    </row>
    <row r="9" customFormat="false" ht="15" hidden="false" customHeight="true" outlineLevel="0" collapsed="false">
      <c r="A9" s="24" t="s">
        <v>106</v>
      </c>
      <c r="B9" s="24"/>
      <c r="C9" s="24"/>
      <c r="D9" s="24"/>
      <c r="E9" s="24"/>
      <c r="F9" s="24"/>
    </row>
    <row r="10" customFormat="false" ht="15" hidden="false" customHeight="true" outlineLevel="0" collapsed="false">
      <c r="A10" s="25" t="s">
        <v>47</v>
      </c>
      <c r="B10" s="25" t="s">
        <v>107</v>
      </c>
      <c r="C10" s="25" t="s">
        <v>108</v>
      </c>
      <c r="D10" s="25" t="s">
        <v>102</v>
      </c>
      <c r="E10" s="25" t="s">
        <v>103</v>
      </c>
      <c r="F10" s="25" t="s">
        <v>104</v>
      </c>
    </row>
    <row r="11" customFormat="false" ht="15" hidden="false" customHeight="true" outlineLevel="0" collapsed="false">
      <c r="A11" s="26" t="n">
        <v>2001</v>
      </c>
      <c r="B11" s="26" t="s">
        <v>52</v>
      </c>
      <c r="C11" s="27" t="n">
        <v>400000</v>
      </c>
      <c r="D11" s="26" t="s">
        <v>53</v>
      </c>
      <c r="E11" s="27" t="n">
        <v>4.55</v>
      </c>
      <c r="F11" s="27" t="n">
        <f aca="false">C11*E11</f>
        <v>1820000</v>
      </c>
    </row>
    <row r="12" customFormat="false" ht="15" hidden="false" customHeight="true" outlineLevel="0" collapsed="false">
      <c r="A12" s="26" t="n">
        <v>2002</v>
      </c>
      <c r="B12" s="26" t="s">
        <v>54</v>
      </c>
      <c r="C12" s="27" t="n">
        <v>0</v>
      </c>
      <c r="D12" s="26" t="s">
        <v>53</v>
      </c>
      <c r="E12" s="27" t="n">
        <v>5</v>
      </c>
      <c r="F12" s="27" t="n">
        <f aca="false">C12*E12</f>
        <v>0</v>
      </c>
    </row>
    <row r="13" customFormat="false" ht="15" hidden="false" customHeight="true" outlineLevel="0" collapsed="false">
      <c r="A13" s="26" t="n">
        <v>2003</v>
      </c>
      <c r="B13" s="26" t="s">
        <v>55</v>
      </c>
      <c r="C13" s="27" t="n">
        <v>5000</v>
      </c>
      <c r="D13" s="26" t="s">
        <v>56</v>
      </c>
      <c r="E13" s="27" t="n">
        <v>100</v>
      </c>
      <c r="F13" s="27" t="n">
        <f aca="false">C13*E13</f>
        <v>500000</v>
      </c>
    </row>
    <row r="14" customFormat="false" ht="15" hidden="false" customHeight="true" outlineLevel="0" collapsed="false">
      <c r="B14" s="28" t="s">
        <v>109</v>
      </c>
      <c r="F14" s="29" t="n">
        <f aca="false">SUM(F11:F13)</f>
        <v>2320000</v>
      </c>
    </row>
    <row r="15" customFormat="false" ht="15" hidden="false" customHeight="true" outlineLevel="0" collapsed="false">
      <c r="A15" s="24" t="s">
        <v>110</v>
      </c>
      <c r="B15" s="24"/>
      <c r="C15" s="24"/>
      <c r="D15" s="24"/>
      <c r="E15" s="24"/>
      <c r="F15" s="24"/>
    </row>
    <row r="16" customFormat="false" ht="15" hidden="false" customHeight="true" outlineLevel="0" collapsed="false">
      <c r="A16" s="25" t="s">
        <v>58</v>
      </c>
      <c r="B16" s="25" t="s">
        <v>111</v>
      </c>
      <c r="C16" s="25" t="s">
        <v>101</v>
      </c>
      <c r="D16" s="25" t="s">
        <v>102</v>
      </c>
      <c r="E16" s="25" t="s">
        <v>112</v>
      </c>
      <c r="F16" s="25" t="s">
        <v>113</v>
      </c>
    </row>
    <row r="17" customFormat="false" ht="15" hidden="false" customHeight="true" outlineLevel="0" collapsed="false">
      <c r="A17" s="26" t="n">
        <v>6001</v>
      </c>
      <c r="B17" s="26" t="s">
        <v>67</v>
      </c>
      <c r="C17" s="27" t="n">
        <v>5000</v>
      </c>
      <c r="D17" s="27" t="s">
        <v>43</v>
      </c>
      <c r="E17" s="27" t="n">
        <v>125000</v>
      </c>
      <c r="F17" s="27" t="s">
        <v>114</v>
      </c>
    </row>
    <row r="18" customFormat="false" ht="15" hidden="false" customHeight="true" outlineLevel="0" collapsed="false">
      <c r="A18" s="26" t="n">
        <v>6002</v>
      </c>
      <c r="B18" s="26" t="s">
        <v>68</v>
      </c>
      <c r="C18" s="27" t="n">
        <v>10000</v>
      </c>
      <c r="D18" s="27" t="s">
        <v>43</v>
      </c>
      <c r="E18" s="27" t="n">
        <v>100000</v>
      </c>
      <c r="F18" s="27" t="s">
        <v>114</v>
      </c>
    </row>
    <row r="19" customFormat="false" ht="15" hidden="false" customHeight="true" outlineLevel="0" collapsed="false">
      <c r="B19" s="28" t="s">
        <v>115</v>
      </c>
      <c r="E19" s="29" t="n">
        <f aca="false">SUM(E17:E18)</f>
        <v>225000</v>
      </c>
      <c r="F19" s="29"/>
    </row>
    <row r="20" customFormat="false" ht="15" hidden="false" customHeight="true" outlineLevel="0" collapsed="false">
      <c r="B20" s="30" t="s">
        <v>116</v>
      </c>
      <c r="F20" s="31" t="n">
        <f aca="false">F8+F14</f>
        <v>2488000</v>
      </c>
    </row>
    <row r="21" customFormat="false" ht="15" hidden="false" customHeight="true" outlineLevel="0" collapsed="false">
      <c r="B21" s="30" t="s">
        <v>117</v>
      </c>
      <c r="F21" s="31" t="n">
        <f aca="false">E19</f>
        <v>225000</v>
      </c>
    </row>
    <row r="22" customFormat="false" ht="15" hidden="false" customHeight="true" outlineLevel="0" collapsed="false">
      <c r="B22" s="32" t="s">
        <v>118</v>
      </c>
      <c r="F22" s="33" t="n">
        <f aca="false">F20+F21</f>
        <v>2713000</v>
      </c>
    </row>
  </sheetData>
  <mergeCells count="4">
    <mergeCell ref="A1:F1"/>
    <mergeCell ref="A3:F3"/>
    <mergeCell ref="A9:F9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6" min="4" style="1" width="15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34" t="s">
        <v>119</v>
      </c>
      <c r="B1" s="34"/>
      <c r="C1" s="34"/>
      <c r="D1" s="34"/>
      <c r="E1" s="34"/>
      <c r="F1" s="34"/>
      <c r="G1" s="34"/>
    </row>
    <row r="3" customFormat="false" ht="15" hidden="false" customHeight="true" outlineLevel="0" collapsed="false">
      <c r="A3" s="35" t="s">
        <v>120</v>
      </c>
      <c r="B3" s="35"/>
      <c r="C3" s="35"/>
      <c r="D3" s="35"/>
      <c r="E3" s="35"/>
      <c r="F3" s="35"/>
      <c r="G3" s="35"/>
    </row>
    <row r="4" customFormat="false" ht="15" hidden="false" customHeight="true" outlineLevel="0" collapsed="false">
      <c r="A4" s="36" t="s">
        <v>89</v>
      </c>
      <c r="B4" s="36" t="s">
        <v>121</v>
      </c>
      <c r="C4" s="36" t="s">
        <v>122</v>
      </c>
      <c r="D4" s="36" t="s">
        <v>123</v>
      </c>
      <c r="E4" s="36" t="s">
        <v>124</v>
      </c>
      <c r="F4" s="36" t="s">
        <v>125</v>
      </c>
      <c r="G4" s="36" t="s">
        <v>102</v>
      </c>
    </row>
    <row r="5" customFormat="false" ht="15" hidden="false" customHeight="true" outlineLevel="0" collapsed="false">
      <c r="A5" s="26" t="n">
        <v>9001</v>
      </c>
      <c r="B5" s="26" t="s">
        <v>97</v>
      </c>
      <c r="C5" s="37" t="n">
        <v>1000000</v>
      </c>
      <c r="D5" s="26" t="n">
        <v>7001</v>
      </c>
      <c r="E5" s="26" t="n">
        <v>0.5</v>
      </c>
      <c r="F5" s="37" t="n">
        <f aca="false">C5*E5</f>
        <v>500000</v>
      </c>
      <c r="G5" s="26" t="s">
        <v>82</v>
      </c>
    </row>
    <row r="6" customFormat="false" ht="15" hidden="false" customHeight="true" outlineLevel="0" collapsed="false">
      <c r="A6" s="26" t="n">
        <v>9001</v>
      </c>
      <c r="B6" s="26" t="s">
        <v>97</v>
      </c>
      <c r="C6" s="37" t="n">
        <v>1000000</v>
      </c>
      <c r="D6" s="26" t="n">
        <v>7002</v>
      </c>
      <c r="E6" s="26" t="n">
        <v>0.5</v>
      </c>
      <c r="F6" s="37" t="n">
        <f aca="false">C6*E6</f>
        <v>500000</v>
      </c>
      <c r="G6" s="26" t="s">
        <v>82</v>
      </c>
    </row>
    <row r="8" customFormat="false" ht="15" hidden="false" customHeight="true" outlineLevel="0" collapsed="false">
      <c r="A8" s="38" t="s">
        <v>126</v>
      </c>
      <c r="B8" s="38"/>
      <c r="C8" s="38"/>
      <c r="D8" s="38"/>
      <c r="E8" s="38"/>
      <c r="F8" s="38"/>
      <c r="G8" s="38"/>
    </row>
    <row r="9" customFormat="false" ht="15" hidden="false" customHeight="true" outlineLevel="0" collapsed="false">
      <c r="A9" s="36" t="s">
        <v>72</v>
      </c>
      <c r="B9" s="36" t="s">
        <v>127</v>
      </c>
      <c r="C9" s="36" t="s">
        <v>128</v>
      </c>
      <c r="D9" s="36" t="s">
        <v>129</v>
      </c>
      <c r="E9" s="36" t="s">
        <v>125</v>
      </c>
      <c r="F9" s="36" t="s">
        <v>130</v>
      </c>
      <c r="G9" s="36" t="s">
        <v>131</v>
      </c>
    </row>
    <row r="10" customFormat="false" ht="15" hidden="false" customHeight="true" outlineLevel="0" collapsed="false">
      <c r="A10" s="26" t="n">
        <v>7001</v>
      </c>
      <c r="B10" s="26" t="n">
        <v>1002</v>
      </c>
      <c r="C10" s="26" t="s">
        <v>44</v>
      </c>
      <c r="D10" s="26" t="n">
        <v>2</v>
      </c>
      <c r="E10" s="37" t="n">
        <f aca="false">F5</f>
        <v>500000</v>
      </c>
      <c r="F10" s="37" t="n">
        <f aca="false">E10/1000</f>
        <v>500</v>
      </c>
      <c r="G10" s="27" t="n">
        <f aca="false">D10*F10</f>
        <v>1000</v>
      </c>
    </row>
    <row r="11" customFormat="false" ht="15" hidden="false" customHeight="true" outlineLevel="0" collapsed="false">
      <c r="A11" s="26" t="n">
        <v>7001</v>
      </c>
      <c r="B11" s="26" t="n">
        <v>6001</v>
      </c>
      <c r="C11" s="26" t="s">
        <v>67</v>
      </c>
      <c r="D11" s="26" t="n">
        <v>10</v>
      </c>
      <c r="E11" s="37" t="n">
        <f aca="false">F5</f>
        <v>500000</v>
      </c>
      <c r="F11" s="37" t="n">
        <f aca="false">E11/1000</f>
        <v>500</v>
      </c>
      <c r="G11" s="27" t="n">
        <f aca="false">D11*F11</f>
        <v>5000</v>
      </c>
    </row>
    <row r="13" customFormat="false" ht="15" hidden="false" customHeight="true" outlineLevel="0" collapsed="false">
      <c r="A13" s="38" t="s">
        <v>132</v>
      </c>
      <c r="B13" s="38"/>
      <c r="C13" s="38"/>
      <c r="D13" s="38"/>
      <c r="E13" s="38"/>
      <c r="F13" s="38"/>
      <c r="G13" s="38"/>
    </row>
    <row r="14" customFormat="false" ht="15" hidden="false" customHeight="true" outlineLevel="0" collapsed="false">
      <c r="A14" s="36" t="s">
        <v>57</v>
      </c>
      <c r="B14" s="36" t="s">
        <v>127</v>
      </c>
      <c r="C14" s="36" t="s">
        <v>128</v>
      </c>
      <c r="D14" s="36" t="s">
        <v>133</v>
      </c>
      <c r="E14" s="36" t="s">
        <v>134</v>
      </c>
      <c r="F14" s="36"/>
      <c r="G14" s="36" t="s">
        <v>131</v>
      </c>
    </row>
    <row r="15" customFormat="false" ht="15" hidden="false" customHeight="true" outlineLevel="0" collapsed="false">
      <c r="A15" s="26" t="n">
        <v>6001</v>
      </c>
      <c r="B15" s="26" t="n">
        <v>1003</v>
      </c>
      <c r="C15" s="26" t="s">
        <v>45</v>
      </c>
      <c r="D15" s="26" t="n">
        <v>1</v>
      </c>
      <c r="E15" s="27" t="n">
        <f aca="false">G11</f>
        <v>5000</v>
      </c>
      <c r="F15" s="26"/>
      <c r="G15" s="27" t="n">
        <f aca="false">D15*E15</f>
        <v>5000</v>
      </c>
    </row>
    <row r="16" customFormat="false" ht="15" hidden="false" customHeight="true" outlineLevel="0" collapsed="false">
      <c r="A16" s="26" t="n">
        <v>6001</v>
      </c>
      <c r="B16" s="26" t="n">
        <v>2001</v>
      </c>
      <c r="C16" s="26" t="s">
        <v>52</v>
      </c>
      <c r="D16" s="26" t="n">
        <v>40</v>
      </c>
      <c r="E16" s="27" t="n">
        <f aca="false">G11</f>
        <v>5000</v>
      </c>
      <c r="F16" s="26"/>
      <c r="G16" s="27" t="n">
        <f aca="false">D16*E16</f>
        <v>200000</v>
      </c>
    </row>
    <row r="18" customFormat="false" ht="15" hidden="false" customHeight="true" outlineLevel="0" collapsed="false">
      <c r="A18" s="38" t="s">
        <v>135</v>
      </c>
      <c r="B18" s="38"/>
      <c r="C18" s="38"/>
      <c r="D18" s="38"/>
      <c r="E18" s="38"/>
      <c r="F18" s="38"/>
      <c r="G18" s="38"/>
    </row>
    <row r="19" customFormat="false" ht="15" hidden="false" customHeight="true" outlineLevel="0" collapsed="false">
      <c r="A19" s="36" t="s">
        <v>72</v>
      </c>
      <c r="B19" s="36" t="s">
        <v>127</v>
      </c>
      <c r="C19" s="36" t="s">
        <v>128</v>
      </c>
      <c r="D19" s="36" t="s">
        <v>136</v>
      </c>
      <c r="E19" s="36" t="s">
        <v>125</v>
      </c>
      <c r="F19" s="36" t="s">
        <v>130</v>
      </c>
      <c r="G19" s="36" t="s">
        <v>131</v>
      </c>
    </row>
    <row r="20" customFormat="false" ht="15" hidden="false" customHeight="true" outlineLevel="0" collapsed="false">
      <c r="A20" s="26" t="n">
        <v>7002</v>
      </c>
      <c r="B20" s="26" t="n">
        <v>1003</v>
      </c>
      <c r="C20" s="26" t="s">
        <v>45</v>
      </c>
      <c r="D20" s="26" t="n">
        <v>20</v>
      </c>
      <c r="E20" s="37" t="n">
        <f aca="false">F6</f>
        <v>500000</v>
      </c>
      <c r="F20" s="37" t="n">
        <f aca="false">E20/10000</f>
        <v>50</v>
      </c>
      <c r="G20" s="27" t="n">
        <f aca="false">D20*F20</f>
        <v>1000</v>
      </c>
    </row>
    <row r="21" customFormat="false" ht="15" hidden="false" customHeight="true" outlineLevel="0" collapsed="false">
      <c r="A21" s="26" t="n">
        <v>7002</v>
      </c>
      <c r="B21" s="26" t="n">
        <v>6002</v>
      </c>
      <c r="C21" s="26" t="s">
        <v>68</v>
      </c>
      <c r="D21" s="26" t="n">
        <v>200</v>
      </c>
      <c r="E21" s="37" t="n">
        <f aca="false">F6</f>
        <v>500000</v>
      </c>
      <c r="F21" s="37" t="n">
        <f aca="false">E21/10000</f>
        <v>50</v>
      </c>
      <c r="G21" s="27" t="n">
        <f aca="false">D21*F21</f>
        <v>10000</v>
      </c>
    </row>
    <row r="22" customFormat="false" ht="15" hidden="false" customHeight="true" outlineLevel="0" collapsed="false">
      <c r="A22" s="26" t="n">
        <v>7002</v>
      </c>
      <c r="B22" s="26" t="n">
        <v>2003</v>
      </c>
      <c r="C22" s="26" t="s">
        <v>55</v>
      </c>
      <c r="D22" s="26" t="n">
        <v>100</v>
      </c>
      <c r="E22" s="37" t="n">
        <f aca="false">F6</f>
        <v>500000</v>
      </c>
      <c r="F22" s="37" t="n">
        <f aca="false">E22/10000</f>
        <v>50</v>
      </c>
      <c r="G22" s="27" t="n">
        <f aca="false">D22*F22</f>
        <v>5000</v>
      </c>
    </row>
    <row r="24" customFormat="false" ht="15" hidden="false" customHeight="true" outlineLevel="0" collapsed="false">
      <c r="A24" s="38" t="s">
        <v>137</v>
      </c>
      <c r="B24" s="38"/>
      <c r="C24" s="38"/>
      <c r="D24" s="38"/>
      <c r="E24" s="38"/>
      <c r="F24" s="38"/>
      <c r="G24" s="38"/>
    </row>
    <row r="25" customFormat="false" ht="15" hidden="false" customHeight="true" outlineLevel="0" collapsed="false">
      <c r="A25" s="36" t="s">
        <v>57</v>
      </c>
      <c r="B25" s="36" t="s">
        <v>127</v>
      </c>
      <c r="C25" s="36" t="s">
        <v>128</v>
      </c>
      <c r="D25" s="36" t="s">
        <v>133</v>
      </c>
      <c r="E25" s="36" t="s">
        <v>134</v>
      </c>
      <c r="F25" s="36"/>
      <c r="G25" s="36" t="s">
        <v>131</v>
      </c>
    </row>
    <row r="26" customFormat="false" ht="15" hidden="false" customHeight="true" outlineLevel="0" collapsed="false">
      <c r="A26" s="26" t="n">
        <v>6002</v>
      </c>
      <c r="B26" s="26" t="n">
        <v>1003</v>
      </c>
      <c r="C26" s="26" t="s">
        <v>45</v>
      </c>
      <c r="D26" s="26" t="n">
        <v>1</v>
      </c>
      <c r="E26" s="27" t="n">
        <f aca="false">G21</f>
        <v>10000</v>
      </c>
      <c r="F26" s="26"/>
      <c r="G26" s="27" t="n">
        <f aca="false">D26*E26</f>
        <v>10000</v>
      </c>
    </row>
    <row r="27" customFormat="false" ht="15" hidden="false" customHeight="true" outlineLevel="0" collapsed="false">
      <c r="A27" s="26" t="n">
        <v>6002</v>
      </c>
      <c r="B27" s="26" t="n">
        <v>2001</v>
      </c>
      <c r="C27" s="26" t="s">
        <v>52</v>
      </c>
      <c r="D27" s="26" t="n">
        <v>20</v>
      </c>
      <c r="E27" s="27" t="n">
        <f aca="false">G21</f>
        <v>10000</v>
      </c>
      <c r="F27" s="26"/>
      <c r="G27" s="27" t="n">
        <f aca="false">D27*E27</f>
        <v>200000</v>
      </c>
    </row>
    <row r="29" customFormat="false" ht="15" hidden="false" customHeight="true" outlineLevel="0" collapsed="false">
      <c r="A29" s="35" t="s">
        <v>138</v>
      </c>
      <c r="B29" s="35"/>
      <c r="C29" s="35"/>
      <c r="D29" s="35"/>
      <c r="E29" s="35"/>
      <c r="F29" s="35"/>
      <c r="G29" s="35"/>
    </row>
    <row r="30" customFormat="false" ht="15" hidden="false" customHeight="true" outlineLevel="0" collapsed="false">
      <c r="A30" s="36" t="s">
        <v>127</v>
      </c>
      <c r="B30" s="36" t="s">
        <v>128</v>
      </c>
      <c r="C30" s="36" t="s">
        <v>139</v>
      </c>
      <c r="D30" s="36" t="s">
        <v>140</v>
      </c>
      <c r="E30" s="36" t="s">
        <v>141</v>
      </c>
      <c r="F30" s="36" t="s">
        <v>142</v>
      </c>
      <c r="G30" s="36" t="s">
        <v>143</v>
      </c>
    </row>
    <row r="31" customFormat="false" ht="15" hidden="false" customHeight="true" outlineLevel="0" collapsed="false">
      <c r="A31" s="26" t="n">
        <v>1002</v>
      </c>
      <c r="B31" s="26" t="s">
        <v>44</v>
      </c>
      <c r="C31" s="27" t="n">
        <f aca="false">G10</f>
        <v>1000</v>
      </c>
      <c r="D31" s="26" t="n">
        <v>0</v>
      </c>
      <c r="E31" s="26" t="n">
        <v>0</v>
      </c>
      <c r="F31" s="26" t="n">
        <v>0</v>
      </c>
      <c r="G31" s="29" t="n">
        <f aca="false">C31+D31+E31+F31</f>
        <v>1000</v>
      </c>
    </row>
    <row r="32" customFormat="false" ht="15" hidden="false" customHeight="true" outlineLevel="0" collapsed="false">
      <c r="A32" s="26" t="n">
        <v>1003</v>
      </c>
      <c r="B32" s="26" t="s">
        <v>45</v>
      </c>
      <c r="C32" s="26" t="n">
        <v>0</v>
      </c>
      <c r="D32" s="27" t="n">
        <f aca="false">G15</f>
        <v>5000</v>
      </c>
      <c r="E32" s="27" t="n">
        <f aca="false">G20</f>
        <v>1000</v>
      </c>
      <c r="F32" s="27" t="n">
        <f aca="false">G26</f>
        <v>10000</v>
      </c>
      <c r="G32" s="29" t="n">
        <f aca="false">C32+D32+E32+F32</f>
        <v>16000</v>
      </c>
    </row>
    <row r="33" customFormat="false" ht="15" hidden="false" customHeight="true" outlineLevel="0" collapsed="false">
      <c r="A33" s="26" t="n">
        <v>2001</v>
      </c>
      <c r="B33" s="26" t="s">
        <v>52</v>
      </c>
      <c r="C33" s="26" t="n">
        <v>0</v>
      </c>
      <c r="D33" s="27" t="n">
        <f aca="false">G16</f>
        <v>200000</v>
      </c>
      <c r="E33" s="26" t="n">
        <v>0</v>
      </c>
      <c r="F33" s="27" t="n">
        <f aca="false">G27</f>
        <v>200000</v>
      </c>
      <c r="G33" s="29" t="n">
        <f aca="false">C33+D33+E33+F33</f>
        <v>400000</v>
      </c>
    </row>
    <row r="34" customFormat="false" ht="15" hidden="false" customHeight="true" outlineLevel="0" collapsed="false">
      <c r="A34" s="26" t="n">
        <v>2003</v>
      </c>
      <c r="B34" s="26" t="s">
        <v>55</v>
      </c>
      <c r="C34" s="26" t="n">
        <v>0</v>
      </c>
      <c r="D34" s="26" t="n">
        <v>0</v>
      </c>
      <c r="E34" s="27" t="n">
        <f aca="false">G22</f>
        <v>5000</v>
      </c>
      <c r="F34" s="26" t="n">
        <v>0</v>
      </c>
      <c r="G34" s="29" t="n">
        <f aca="false">C34+D34+E34+F34</f>
        <v>5000</v>
      </c>
    </row>
    <row r="36" customFormat="false" ht="15" hidden="false" customHeight="true" outlineLevel="0" collapsed="false">
      <c r="A36" s="38" t="s">
        <v>144</v>
      </c>
      <c r="B36" s="38"/>
      <c r="C36" s="38"/>
      <c r="D36" s="38"/>
      <c r="E36" s="38"/>
      <c r="F36" s="38"/>
      <c r="G36" s="38"/>
    </row>
    <row r="37" customFormat="false" ht="15" hidden="false" customHeight="true" outlineLevel="0" collapsed="false">
      <c r="A37" s="36" t="s">
        <v>145</v>
      </c>
      <c r="B37" s="36" t="s">
        <v>111</v>
      </c>
      <c r="C37" s="36" t="s">
        <v>101</v>
      </c>
      <c r="D37" s="36" t="s">
        <v>146</v>
      </c>
      <c r="E37" s="36" t="s">
        <v>112</v>
      </c>
      <c r="F37" s="36"/>
      <c r="G37" s="36"/>
    </row>
    <row r="38" customFormat="false" ht="15" hidden="false" customHeight="true" outlineLevel="0" collapsed="false">
      <c r="A38" s="26" t="n">
        <v>6001</v>
      </c>
      <c r="B38" s="26" t="s">
        <v>67</v>
      </c>
      <c r="C38" s="27" t="n">
        <f aca="false">G11</f>
        <v>5000</v>
      </c>
      <c r="D38" s="26" t="n">
        <v>25</v>
      </c>
      <c r="E38" s="27" t="n">
        <f aca="false">C39*D39</f>
        <v>100000</v>
      </c>
      <c r="F38" s="26"/>
      <c r="G38" s="26"/>
    </row>
    <row r="39" customFormat="false" ht="15" hidden="false" customHeight="true" outlineLevel="0" collapsed="false">
      <c r="A39" s="26" t="n">
        <v>6002</v>
      </c>
      <c r="B39" s="26" t="s">
        <v>68</v>
      </c>
      <c r="C39" s="27" t="n">
        <f aca="false">G21</f>
        <v>10000</v>
      </c>
      <c r="D39" s="26" t="n">
        <v>10</v>
      </c>
      <c r="E39" s="27" t="n">
        <f aca="false">C39*D39</f>
        <v>100000</v>
      </c>
      <c r="F39" s="26"/>
      <c r="G39" s="26"/>
    </row>
    <row r="40" customFormat="false" ht="15" hidden="false" customHeight="true" outlineLevel="0" collapsed="false">
      <c r="B40" s="28" t="s">
        <v>117</v>
      </c>
      <c r="E40" s="39" t="n">
        <f aca="false">C40*D40</f>
        <v>0</v>
      </c>
    </row>
    <row r="41" customFormat="false" ht="15" hidden="false" customHeight="true" outlineLevel="0" collapsed="false">
      <c r="E41" s="22" t="n">
        <f aca="false">SUM(E39:E40)</f>
        <v>100000</v>
      </c>
    </row>
  </sheetData>
  <mergeCells count="8">
    <mergeCell ref="A1:G1"/>
    <mergeCell ref="A3:G3"/>
    <mergeCell ref="A8:G8"/>
    <mergeCell ref="A13:G13"/>
    <mergeCell ref="A18:G18"/>
    <mergeCell ref="A24:G24"/>
    <mergeCell ref="A29:G29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2026-02-14T09:23:11Z</dcterms:created>
  <dc:creator>Nevzat Ersan Ergulec</dc:creator>
  <dc:description/>
  <dc:language>en-US</dc:language>
  <cp:lastModifiedBy>Nevzat Ersan Ergulec</cp:lastModifiedBy>
  <dcterms:modified xsi:type="dcterms:W3CDTF">2026-02-14T12:39:57Z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